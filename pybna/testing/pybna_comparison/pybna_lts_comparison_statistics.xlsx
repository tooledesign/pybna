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patterson\code\pybna\pybna\testing\pybna_comparison\"/>
    </mc:Choice>
  </mc:AlternateContent>
  <xr:revisionPtr revIDLastSave="0" documentId="13_ncr:1_{9AC3F5E8-2E49-47B5-A6E5-7D7E0EC25779}" xr6:coauthVersionLast="44" xr6:coauthVersionMax="44" xr10:uidLastSave="{00000000-0000-0000-0000-000000000000}"/>
  <bookViews>
    <workbookView xWindow="-120" yWindow="-120" windowWidth="38640" windowHeight="21240" xr2:uid="{835B8994-85BE-4B72-BBF2-CFEDE94E3E0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J23" i="1" l="1"/>
  <c r="J12" i="1"/>
</calcChain>
</file>

<file path=xl/sharedStrings.xml><?xml version="1.0" encoding="utf-8"?>
<sst xmlns="http://schemas.openxmlformats.org/spreadsheetml/2006/main" count="76" uniqueCount="39">
  <si>
    <t>tf_seg_str</t>
  </si>
  <si>
    <t>geom count</t>
  </si>
  <si>
    <t xml:space="preserve">sum length </t>
  </si>
  <si>
    <t xml:space="preserve">SELECT  stress, count(geom), sum(st_length(geom))/5280 </t>
  </si>
  <si>
    <t>stress</t>
  </si>
  <si>
    <t xml:space="preserve">Backwards LTS on pybna imported network </t>
  </si>
  <si>
    <t xml:space="preserve">SELECT  tf_seg_str, count(geom), sum(st_length(geom))/5280 </t>
  </si>
  <si>
    <t xml:space="preserve">SELECT  ft_seg_str, count(geom), sum(st_length(geom))/5280 </t>
  </si>
  <si>
    <t xml:space="preserve">Forward  LTS on pybna imported network </t>
  </si>
  <si>
    <t>Forwards on LTS pybna output table</t>
  </si>
  <si>
    <t>Backwards on LTS pybna output table</t>
  </si>
  <si>
    <t xml:space="preserve">Segment Stress Review </t>
  </si>
  <si>
    <t>Crossing Stress Review</t>
  </si>
  <si>
    <t xml:space="preserve">Forward LTS on PBF website neighborhood ways </t>
  </si>
  <si>
    <t>Sum 3 and 4</t>
  </si>
  <si>
    <t xml:space="preserve">  FROM received.updated_segment_stress_scores_forward </t>
  </si>
  <si>
    <t xml:space="preserve">  group by stress order by stress</t>
  </si>
  <si>
    <t xml:space="preserve">  FROM received.updated_ways </t>
  </si>
  <si>
    <t xml:space="preserve">  group by ft_seg_str  order by ft_seg_str</t>
  </si>
  <si>
    <t xml:space="preserve">  FROM received.website_neighborhood_ways </t>
  </si>
  <si>
    <t xml:space="preserve">  FROM received.updated_segment_stress_scores_backward </t>
  </si>
  <si>
    <t xml:space="preserve">  group by tf_seg_str order by tf_seg_str</t>
  </si>
  <si>
    <t xml:space="preserve">  group by tf_seg_str  order by tf_seg_str</t>
  </si>
  <si>
    <t xml:space="preserve">SELECT  tf_int_str, count(geom), sum(st_length(geom))/5280 </t>
  </si>
  <si>
    <t xml:space="preserve">  group by tf_int_str  order by tf_int_str</t>
  </si>
  <si>
    <t xml:space="preserve">Backwards LTS on PBF website neighborhood ways </t>
  </si>
  <si>
    <t>Backwards LTS on PBF website neighborhood ways (intersections)</t>
  </si>
  <si>
    <t xml:space="preserve">SELECT  ft_int_str, count(geom), sum(st_length(geom))/5280 </t>
  </si>
  <si>
    <t xml:space="preserve">  group by ft_int_str  order by ft_int_str</t>
  </si>
  <si>
    <t>Forwards LTS on PBF website neighborhood ways (intersections)</t>
  </si>
  <si>
    <t>tf_int_str</t>
  </si>
  <si>
    <t xml:space="preserve">  group by stress  order by stress</t>
  </si>
  <si>
    <t>Forwards LTS on pybna output, updated_segment_stress_scores_forward</t>
  </si>
  <si>
    <t>Backwards LTS on pybna output, updated_segment_stress_scores_backward</t>
  </si>
  <si>
    <t>&lt;same&gt;</t>
  </si>
  <si>
    <t xml:space="preserve">  FROM received.updated_crossing_stress_scores_backward</t>
  </si>
  <si>
    <t xml:space="preserve">  FROM received.updated_crossing_stress_scores_forward</t>
  </si>
  <si>
    <t>ft_seg_str</t>
  </si>
  <si>
    <t>ft_int_str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</si>
</sst>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59999389629810485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Border="1"/>
    <xf numFmtId="0" fontId="0" fillId="0" borderId="1" xfId="0" applyFont="1" applyBorder="1"/>
    <xf numFmtId="0" fontId="1" fillId="0" borderId="1" xfId="0" applyFont="1" applyBorder="1"/>
    <xf numFmtId="0" fontId="1" fillId="0" borderId="2" xfId="0" applyFont="1" applyBorder="1"/>
    <xf numFmtId="0" fontId="2" fillId="0" borderId="0" xfId="0" applyFont="1"/>
    <xf numFmtId="0" fontId="0" fillId="0" borderId="0" xfId="0" applyBorder="1"/>
    <xf numFmtId="0" fontId="0" fillId="0" borderId="0" xfId="0" applyFont="1" applyBorder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269933-7862-4476-AC4B-3CDB9C3F77BC}">
  <dimension ref="A1:N49"/>
  <sheetViews>
    <sheetView tabSelected="1" workbookViewId="0">
      <selection activeCell="N11" sqref="N11"/>
    </sheetView>
  </sheetViews>
  <sheetFormatPr defaultRowHeight="15" x14ac:dyDescent="0.25"/>
  <cols>
    <col min="1" max="1" width="17" customWidth="1"/>
    <col min="2" max="2" width="17.85546875" customWidth="1"/>
    <col min="3" max="3" width="16" customWidth="1"/>
    <col min="7" max="7" width="14" customWidth="1"/>
    <col min="8" max="8" width="13.5703125" customWidth="1"/>
    <col min="9" max="9" width="18.28515625" customWidth="1"/>
    <col min="12" max="12" width="12.7109375" customWidth="1"/>
    <col min="13" max="13" width="13.28515625" customWidth="1"/>
    <col min="14" max="14" width="22.140625" customWidth="1"/>
  </cols>
  <sheetData>
    <row r="1" spans="1:14" ht="21" x14ac:dyDescent="0.35">
      <c r="A1" s="5" t="s">
        <v>11</v>
      </c>
    </row>
    <row r="4" spans="1:14" x14ac:dyDescent="0.25">
      <c r="A4" t="s">
        <v>3</v>
      </c>
      <c r="G4" t="s">
        <v>7</v>
      </c>
      <c r="L4" t="s">
        <v>7</v>
      </c>
    </row>
    <row r="5" spans="1:14" x14ac:dyDescent="0.25">
      <c r="A5" s="6" t="s">
        <v>15</v>
      </c>
      <c r="B5" s="6"/>
      <c r="C5" s="6"/>
      <c r="G5" s="6" t="s">
        <v>17</v>
      </c>
      <c r="H5" s="6"/>
      <c r="I5" s="6"/>
      <c r="J5" s="6"/>
      <c r="K5" s="6"/>
      <c r="L5" s="6" t="s">
        <v>19</v>
      </c>
      <c r="M5" s="6"/>
      <c r="N5" s="6"/>
    </row>
    <row r="6" spans="1:14" x14ac:dyDescent="0.25">
      <c r="A6" s="1" t="s">
        <v>16</v>
      </c>
      <c r="B6" s="1"/>
      <c r="C6" s="1"/>
      <c r="G6" s="1" t="s">
        <v>18</v>
      </c>
      <c r="H6" s="1"/>
      <c r="I6" s="1"/>
      <c r="L6" s="1" t="s">
        <v>18</v>
      </c>
      <c r="M6" s="1"/>
      <c r="N6" s="1"/>
    </row>
    <row r="7" spans="1:14" x14ac:dyDescent="0.25">
      <c r="A7" s="3" t="s">
        <v>9</v>
      </c>
      <c r="B7" s="3"/>
      <c r="C7" s="3"/>
      <c r="E7" t="s">
        <v>34</v>
      </c>
      <c r="G7" s="3" t="s">
        <v>8</v>
      </c>
      <c r="H7" s="3"/>
      <c r="I7" s="3"/>
      <c r="L7" s="4" t="s">
        <v>13</v>
      </c>
      <c r="M7" s="4"/>
      <c r="N7" s="4"/>
    </row>
    <row r="8" spans="1:14" x14ac:dyDescent="0.25">
      <c r="A8" s="1" t="s">
        <v>4</v>
      </c>
      <c r="B8" s="1" t="s">
        <v>1</v>
      </c>
      <c r="C8" s="1" t="s">
        <v>2</v>
      </c>
      <c r="G8" s="1" t="s">
        <v>37</v>
      </c>
      <c r="H8" s="1" t="s">
        <v>1</v>
      </c>
      <c r="I8" s="1" t="s">
        <v>2</v>
      </c>
      <c r="L8" s="1" t="s">
        <v>37</v>
      </c>
      <c r="M8" s="1" t="s">
        <v>1</v>
      </c>
      <c r="N8" s="1" t="s">
        <v>2</v>
      </c>
    </row>
    <row r="9" spans="1:14" x14ac:dyDescent="0.25">
      <c r="A9">
        <v>1</v>
      </c>
      <c r="B9">
        <v>34396</v>
      </c>
      <c r="C9">
        <v>412.298308249309</v>
      </c>
      <c r="G9">
        <v>1</v>
      </c>
      <c r="H9">
        <v>34396</v>
      </c>
      <c r="I9">
        <v>412.29830824930701</v>
      </c>
      <c r="L9">
        <v>1</v>
      </c>
      <c r="M9">
        <v>45842</v>
      </c>
      <c r="N9">
        <v>444.80350593230401</v>
      </c>
    </row>
    <row r="10" spans="1:14" x14ac:dyDescent="0.25">
      <c r="A10">
        <v>2</v>
      </c>
      <c r="B10">
        <v>3874</v>
      </c>
      <c r="C10">
        <v>36.997655725365902</v>
      </c>
      <c r="G10">
        <v>2</v>
      </c>
      <c r="H10">
        <v>3874</v>
      </c>
      <c r="I10">
        <v>36.997655725365803</v>
      </c>
      <c r="L10">
        <v>2</v>
      </c>
      <c r="M10">
        <v>59</v>
      </c>
      <c r="N10">
        <v>0.396891412560891</v>
      </c>
    </row>
    <row r="11" spans="1:14" x14ac:dyDescent="0.25">
      <c r="A11">
        <v>3</v>
      </c>
      <c r="B11">
        <v>5337</v>
      </c>
      <c r="C11">
        <v>81.199468926064995</v>
      </c>
      <c r="G11">
        <v>3</v>
      </c>
      <c r="H11">
        <v>5337</v>
      </c>
      <c r="I11">
        <v>81.199468926064995</v>
      </c>
      <c r="J11" t="s">
        <v>14</v>
      </c>
      <c r="L11">
        <v>3</v>
      </c>
      <c r="M11">
        <v>15455</v>
      </c>
      <c r="N11" s="11">
        <v>205.39942727119799</v>
      </c>
    </row>
    <row r="12" spans="1:14" x14ac:dyDescent="0.25">
      <c r="A12">
        <v>4</v>
      </c>
      <c r="B12">
        <v>5835</v>
      </c>
      <c r="C12">
        <v>116.284530049602</v>
      </c>
      <c r="G12">
        <v>4</v>
      </c>
      <c r="H12">
        <v>5835</v>
      </c>
      <c r="I12">
        <v>116.284530049602</v>
      </c>
      <c r="J12" s="11">
        <f>SUM(I11:I12)</f>
        <v>197.48399897566699</v>
      </c>
      <c r="M12">
        <v>35</v>
      </c>
      <c r="N12">
        <v>0.266350987839231</v>
      </c>
    </row>
    <row r="13" spans="1:14" x14ac:dyDescent="0.25">
      <c r="H13">
        <v>11</v>
      </c>
      <c r="I13">
        <v>3.53454039399115E-2</v>
      </c>
    </row>
    <row r="15" spans="1:14" x14ac:dyDescent="0.25">
      <c r="A15" t="s">
        <v>3</v>
      </c>
      <c r="G15" t="s">
        <v>6</v>
      </c>
      <c r="L15" t="s">
        <v>6</v>
      </c>
    </row>
    <row r="16" spans="1:14" x14ac:dyDescent="0.25">
      <c r="A16" s="6" t="s">
        <v>20</v>
      </c>
      <c r="B16" s="6"/>
      <c r="C16" s="6"/>
      <c r="D16" s="6"/>
      <c r="E16" s="6"/>
      <c r="F16" s="6"/>
      <c r="G16" s="7" t="s">
        <v>17</v>
      </c>
      <c r="H16" s="7"/>
      <c r="I16" s="7"/>
      <c r="J16" s="6"/>
      <c r="K16" s="6"/>
      <c r="L16" s="6" t="s">
        <v>19</v>
      </c>
      <c r="M16" s="6"/>
      <c r="N16" s="6"/>
    </row>
    <row r="17" spans="1:14" x14ac:dyDescent="0.25">
      <c r="A17" s="1" t="s">
        <v>16</v>
      </c>
      <c r="B17" s="1"/>
      <c r="C17" s="1"/>
      <c r="G17" s="2" t="s">
        <v>21</v>
      </c>
      <c r="H17" s="2"/>
      <c r="I17" s="2"/>
      <c r="L17" s="1" t="s">
        <v>22</v>
      </c>
      <c r="M17" s="1"/>
      <c r="N17" s="1"/>
    </row>
    <row r="18" spans="1:14" x14ac:dyDescent="0.25">
      <c r="A18" s="3" t="s">
        <v>10</v>
      </c>
      <c r="B18" s="3"/>
      <c r="C18" s="3"/>
      <c r="E18" t="s">
        <v>34</v>
      </c>
      <c r="G18" s="3" t="s">
        <v>5</v>
      </c>
      <c r="H18" s="3"/>
      <c r="I18" s="3"/>
      <c r="L18" s="4" t="s">
        <v>25</v>
      </c>
      <c r="M18" s="3"/>
      <c r="N18" s="3"/>
    </row>
    <row r="19" spans="1:14" x14ac:dyDescent="0.25">
      <c r="A19" s="1" t="s">
        <v>4</v>
      </c>
      <c r="B19" s="1" t="s">
        <v>1</v>
      </c>
      <c r="C19" s="1" t="s">
        <v>2</v>
      </c>
      <c r="G19" s="1" t="s">
        <v>0</v>
      </c>
      <c r="H19" s="1" t="s">
        <v>1</v>
      </c>
      <c r="I19" s="1" t="s">
        <v>2</v>
      </c>
      <c r="L19" s="1" t="s">
        <v>0</v>
      </c>
      <c r="M19" s="1" t="s">
        <v>1</v>
      </c>
      <c r="N19" s="1" t="s">
        <v>2</v>
      </c>
    </row>
    <row r="20" spans="1:14" x14ac:dyDescent="0.25">
      <c r="A20">
        <v>1</v>
      </c>
      <c r="B20">
        <v>34398</v>
      </c>
      <c r="C20">
        <v>412.30872620382399</v>
      </c>
      <c r="G20">
        <v>1</v>
      </c>
      <c r="H20">
        <v>34398</v>
      </c>
      <c r="I20">
        <v>412.30872620382399</v>
      </c>
      <c r="L20">
        <v>1</v>
      </c>
      <c r="M20">
        <v>42081</v>
      </c>
      <c r="N20">
        <v>414.45771811098001</v>
      </c>
    </row>
    <row r="21" spans="1:14" x14ac:dyDescent="0.25">
      <c r="A21">
        <v>2</v>
      </c>
      <c r="B21">
        <v>226</v>
      </c>
      <c r="C21">
        <v>3.0667518297782599</v>
      </c>
      <c r="G21">
        <v>2</v>
      </c>
      <c r="H21">
        <v>226</v>
      </c>
      <c r="I21">
        <v>3.0667518297782599</v>
      </c>
      <c r="L21">
        <v>2</v>
      </c>
      <c r="M21">
        <v>7</v>
      </c>
      <c r="N21">
        <v>2.4850733886847099E-2</v>
      </c>
    </row>
    <row r="22" spans="1:14" x14ac:dyDescent="0.25">
      <c r="A22">
        <v>3</v>
      </c>
      <c r="B22">
        <v>3999</v>
      </c>
      <c r="C22">
        <v>60.183536011519898</v>
      </c>
      <c r="G22">
        <v>3</v>
      </c>
      <c r="H22">
        <v>3999</v>
      </c>
      <c r="I22">
        <v>60.183536011519998</v>
      </c>
      <c r="J22" t="s">
        <v>14</v>
      </c>
      <c r="L22">
        <v>3</v>
      </c>
      <c r="M22">
        <v>6267</v>
      </c>
      <c r="N22" s="8">
        <v>67.874513518198199</v>
      </c>
    </row>
    <row r="23" spans="1:14" x14ac:dyDescent="0.25">
      <c r="A23">
        <v>4</v>
      </c>
      <c r="B23">
        <v>852</v>
      </c>
      <c r="C23">
        <v>20.923520993716298</v>
      </c>
      <c r="G23">
        <v>4</v>
      </c>
      <c r="H23">
        <v>852</v>
      </c>
      <c r="I23">
        <v>20.923520993716199</v>
      </c>
      <c r="J23" s="8">
        <f>SUM(I22:I23)</f>
        <v>81.1070570052362</v>
      </c>
      <c r="M23">
        <v>13036</v>
      </c>
      <c r="N23">
        <v>168.509093240835</v>
      </c>
    </row>
    <row r="24" spans="1:14" x14ac:dyDescent="0.25">
      <c r="H24">
        <v>9978</v>
      </c>
      <c r="I24">
        <v>150.33277331544201</v>
      </c>
    </row>
    <row r="27" spans="1:14" ht="21" x14ac:dyDescent="0.35">
      <c r="A27" s="5" t="s">
        <v>12</v>
      </c>
    </row>
    <row r="28" spans="1:14" x14ac:dyDescent="0.25">
      <c r="G28" t="s">
        <v>3</v>
      </c>
      <c r="L28" t="s">
        <v>27</v>
      </c>
    </row>
    <row r="29" spans="1:14" x14ac:dyDescent="0.25">
      <c r="G29" t="s">
        <v>36</v>
      </c>
      <c r="L29" t="s">
        <v>19</v>
      </c>
    </row>
    <row r="30" spans="1:14" x14ac:dyDescent="0.25">
      <c r="G30" s="2" t="s">
        <v>31</v>
      </c>
      <c r="H30" s="2"/>
      <c r="I30" s="2"/>
      <c r="L30" t="s">
        <v>28</v>
      </c>
    </row>
    <row r="31" spans="1:14" x14ac:dyDescent="0.25">
      <c r="G31" s="3" t="s">
        <v>32</v>
      </c>
      <c r="H31" s="3"/>
      <c r="I31" s="3"/>
      <c r="L31" s="4" t="s">
        <v>29</v>
      </c>
      <c r="M31" s="3"/>
      <c r="N31" s="3"/>
    </row>
    <row r="32" spans="1:14" x14ac:dyDescent="0.25">
      <c r="G32" s="1" t="s">
        <v>30</v>
      </c>
      <c r="H32" s="1" t="s">
        <v>1</v>
      </c>
      <c r="I32" s="1" t="s">
        <v>2</v>
      </c>
      <c r="L32" s="1" t="s">
        <v>38</v>
      </c>
      <c r="M32" s="1" t="s">
        <v>1</v>
      </c>
      <c r="N32" s="1" t="s">
        <v>2</v>
      </c>
    </row>
    <row r="33" spans="7:14" x14ac:dyDescent="0.25">
      <c r="G33">
        <v>1</v>
      </c>
      <c r="H33">
        <v>41452</v>
      </c>
      <c r="I33">
        <v>544.81228971917699</v>
      </c>
      <c r="L33">
        <v>1</v>
      </c>
      <c r="M33">
        <v>60338</v>
      </c>
      <c r="N33">
        <v>643.99331664898295</v>
      </c>
    </row>
    <row r="34" spans="7:14" x14ac:dyDescent="0.25">
      <c r="G34">
        <v>2</v>
      </c>
      <c r="H34">
        <v>695</v>
      </c>
      <c r="I34">
        <v>3.3878426330578399</v>
      </c>
      <c r="L34">
        <v>3</v>
      </c>
      <c r="M34">
        <v>1053</v>
      </c>
      <c r="N34" s="10">
        <v>6.8728589549176897</v>
      </c>
    </row>
    <row r="35" spans="7:14" x14ac:dyDescent="0.25">
      <c r="G35">
        <v>3</v>
      </c>
      <c r="H35">
        <v>832</v>
      </c>
      <c r="I35" s="10">
        <v>7.0353855068915703</v>
      </c>
    </row>
    <row r="36" spans="7:14" x14ac:dyDescent="0.25">
      <c r="G36">
        <v>4</v>
      </c>
      <c r="H36">
        <v>221</v>
      </c>
      <c r="I36" s="10">
        <v>3.9464692491174</v>
      </c>
    </row>
    <row r="37" spans="7:14" x14ac:dyDescent="0.25">
      <c r="H37">
        <v>6253</v>
      </c>
      <c r="I37">
        <v>87.633321246037994</v>
      </c>
    </row>
    <row r="40" spans="7:14" x14ac:dyDescent="0.25">
      <c r="G40" t="s">
        <v>3</v>
      </c>
      <c r="L40" t="s">
        <v>23</v>
      </c>
    </row>
    <row r="41" spans="7:14" x14ac:dyDescent="0.25">
      <c r="G41" t="s">
        <v>35</v>
      </c>
      <c r="L41" t="s">
        <v>19</v>
      </c>
    </row>
    <row r="42" spans="7:14" x14ac:dyDescent="0.25">
      <c r="G42" t="s">
        <v>31</v>
      </c>
      <c r="L42" t="s">
        <v>24</v>
      </c>
    </row>
    <row r="43" spans="7:14" x14ac:dyDescent="0.25">
      <c r="G43" s="3" t="s">
        <v>33</v>
      </c>
      <c r="H43" s="3"/>
      <c r="I43" s="3"/>
      <c r="L43" s="4" t="s">
        <v>26</v>
      </c>
      <c r="M43" s="3"/>
      <c r="N43" s="3"/>
    </row>
    <row r="44" spans="7:14" x14ac:dyDescent="0.25">
      <c r="G44" s="1" t="s">
        <v>30</v>
      </c>
      <c r="H44" s="1" t="s">
        <v>1</v>
      </c>
      <c r="I44" s="1" t="s">
        <v>2</v>
      </c>
      <c r="L44" s="1" t="s">
        <v>30</v>
      </c>
      <c r="M44" s="1" t="s">
        <v>1</v>
      </c>
      <c r="N44" s="1" t="s">
        <v>2</v>
      </c>
    </row>
    <row r="45" spans="7:14" x14ac:dyDescent="0.25">
      <c r="G45">
        <v>1</v>
      </c>
      <c r="H45">
        <v>41269</v>
      </c>
      <c r="I45">
        <v>535.73115575744498</v>
      </c>
      <c r="L45">
        <v>1</v>
      </c>
      <c r="M45">
        <v>60246</v>
      </c>
      <c r="N45">
        <v>642.10419211767999</v>
      </c>
    </row>
    <row r="46" spans="7:14" x14ac:dyDescent="0.25">
      <c r="G46">
        <v>2</v>
      </c>
      <c r="H46">
        <v>679</v>
      </c>
      <c r="I46">
        <v>4.3028882476760897</v>
      </c>
      <c r="L46">
        <v>3</v>
      </c>
      <c r="M46">
        <v>1145</v>
      </c>
      <c r="N46" s="9">
        <v>8.7619834862211992</v>
      </c>
    </row>
    <row r="47" spans="7:14" x14ac:dyDescent="0.25">
      <c r="G47">
        <v>3</v>
      </c>
      <c r="H47">
        <v>803</v>
      </c>
      <c r="I47" s="9">
        <v>7.4509349985845503</v>
      </c>
    </row>
    <row r="48" spans="7:14" x14ac:dyDescent="0.25">
      <c r="G48">
        <v>4</v>
      </c>
      <c r="H48">
        <v>277</v>
      </c>
      <c r="I48" s="9">
        <v>4.5484992466602296</v>
      </c>
    </row>
    <row r="49" spans="8:9" x14ac:dyDescent="0.25">
      <c r="H49">
        <v>6425</v>
      </c>
      <c r="I49">
        <v>94.781830103914203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Patterson</dc:creator>
  <cp:lastModifiedBy>Daniel Patterson</cp:lastModifiedBy>
  <dcterms:created xsi:type="dcterms:W3CDTF">2020-03-30T15:28:05Z</dcterms:created>
  <dcterms:modified xsi:type="dcterms:W3CDTF">2020-03-30T18:39:45Z</dcterms:modified>
</cp:coreProperties>
</file>